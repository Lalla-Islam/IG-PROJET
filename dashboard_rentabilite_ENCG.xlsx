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6380" windowHeight="8190" tabRatio="500" activeTab="3"/>
  </bookViews>
  <sheets>
    <sheet name="📊 Tableau de Bord" sheetId="1" r:id="rId1"/>
    <sheet name="Données" sheetId="2" r:id="rId2"/>
    <sheet name="Familles" sheetId="3" r:id="rId3"/>
    <sheet name="Seuil Rentabilité" sheetId="4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1" l="1"/>
  <c r="C7" i="4"/>
  <c r="B6" i="4"/>
  <c r="E6" i="4" s="1"/>
  <c r="B5" i="4"/>
  <c r="E5" i="4" s="1"/>
  <c r="D4" i="4"/>
  <c r="B4" i="4"/>
  <c r="E4" i="4" s="1"/>
  <c r="E3" i="4"/>
  <c r="D3" i="4"/>
  <c r="B3" i="4"/>
  <c r="B7" i="4" s="1"/>
  <c r="E7" i="4" s="1"/>
  <c r="H7" i="3"/>
  <c r="J6" i="3"/>
  <c r="C6" i="3"/>
  <c r="I6" i="3" s="1"/>
  <c r="B6" i="3"/>
  <c r="J5" i="3"/>
  <c r="C5" i="3"/>
  <c r="I5" i="3" s="1"/>
  <c r="B5" i="3"/>
  <c r="J4" i="3"/>
  <c r="C4" i="3"/>
  <c r="I4" i="3" s="1"/>
  <c r="B4" i="3"/>
  <c r="J3" i="3"/>
  <c r="J7" i="3" s="1"/>
  <c r="C3" i="3"/>
  <c r="I3" i="3" s="1"/>
  <c r="I7" i="3" s="1"/>
  <c r="B3" i="3"/>
  <c r="B7" i="3" s="1"/>
  <c r="I23" i="2"/>
  <c r="G23" i="2"/>
  <c r="F23" i="2"/>
  <c r="E23" i="2"/>
  <c r="D23" i="2"/>
  <c r="I22" i="2"/>
  <c r="J22" i="2" s="1"/>
  <c r="H22" i="2"/>
  <c r="G22" i="2"/>
  <c r="I21" i="2"/>
  <c r="J21" i="2" s="1"/>
  <c r="H21" i="2"/>
  <c r="G21" i="2"/>
  <c r="I20" i="2"/>
  <c r="J20" i="2" s="1"/>
  <c r="H20" i="2"/>
  <c r="G20" i="2"/>
  <c r="I19" i="2"/>
  <c r="J19" i="2" s="1"/>
  <c r="H19" i="2"/>
  <c r="G19" i="2"/>
  <c r="I18" i="2"/>
  <c r="J18" i="2" s="1"/>
  <c r="H18" i="2"/>
  <c r="G18" i="2"/>
  <c r="I17" i="2"/>
  <c r="J17" i="2" s="1"/>
  <c r="H17" i="2"/>
  <c r="G17" i="2"/>
  <c r="I16" i="2"/>
  <c r="J16" i="2" s="1"/>
  <c r="H16" i="2"/>
  <c r="G16" i="2"/>
  <c r="I15" i="2"/>
  <c r="J15" i="2" s="1"/>
  <c r="H15" i="2"/>
  <c r="G15" i="2"/>
  <c r="I14" i="2"/>
  <c r="J14" i="2" s="1"/>
  <c r="H14" i="2"/>
  <c r="G14" i="2"/>
  <c r="I13" i="2"/>
  <c r="J13" i="2" s="1"/>
  <c r="H13" i="2"/>
  <c r="G13" i="2"/>
  <c r="I12" i="2"/>
  <c r="J12" i="2" s="1"/>
  <c r="H12" i="2"/>
  <c r="D3" i="3" s="1"/>
  <c r="G12" i="2"/>
  <c r="I11" i="2"/>
  <c r="J11" i="2" s="1"/>
  <c r="H11" i="2"/>
  <c r="G11" i="2"/>
  <c r="I10" i="2"/>
  <c r="J10" i="2" s="1"/>
  <c r="H10" i="2"/>
  <c r="G10" i="2"/>
  <c r="I9" i="2"/>
  <c r="J9" i="2" s="1"/>
  <c r="H9" i="2"/>
  <c r="G9" i="2"/>
  <c r="I8" i="2"/>
  <c r="J8" i="2" s="1"/>
  <c r="H8" i="2"/>
  <c r="G8" i="2"/>
  <c r="I7" i="2"/>
  <c r="J7" i="2" s="1"/>
  <c r="H7" i="2"/>
  <c r="G7" i="2"/>
  <c r="I6" i="2"/>
  <c r="J6" i="2" s="1"/>
  <c r="H6" i="2"/>
  <c r="G6" i="2"/>
  <c r="I5" i="2"/>
  <c r="J5" i="2" s="1"/>
  <c r="H5" i="2"/>
  <c r="D6" i="3" s="1"/>
  <c r="E6" i="3" s="1"/>
  <c r="G5" i="2"/>
  <c r="I4" i="2"/>
  <c r="J4" i="2" s="1"/>
  <c r="H4" i="2"/>
  <c r="F5" i="4" s="1"/>
  <c r="G5" i="4" s="1"/>
  <c r="G4" i="2"/>
  <c r="I3" i="2"/>
  <c r="F8" i="1" s="1"/>
  <c r="H3" i="2"/>
  <c r="D4" i="3" s="1"/>
  <c r="G3" i="2"/>
  <c r="H21" i="1"/>
  <c r="C21" i="1"/>
  <c r="H20" i="1"/>
  <c r="C20" i="1"/>
  <c r="H19" i="1"/>
  <c r="C19" i="1"/>
  <c r="H18" i="1"/>
  <c r="H22" i="1" s="1"/>
  <c r="G18" i="1"/>
  <c r="F18" i="1"/>
  <c r="E18" i="1"/>
  <c r="D18" i="1"/>
  <c r="C18" i="1"/>
  <c r="C22" i="1" s="1"/>
  <c r="E8" i="1"/>
  <c r="B8" i="1"/>
  <c r="D7" i="3" l="1"/>
  <c r="E7" i="3" s="1"/>
  <c r="D19" i="1"/>
  <c r="E3" i="3"/>
  <c r="E19" i="1" s="1"/>
  <c r="D20" i="1"/>
  <c r="E4" i="3"/>
  <c r="E20" i="1" s="1"/>
  <c r="F6" i="4"/>
  <c r="G6" i="4" s="1"/>
  <c r="F3" i="3"/>
  <c r="F4" i="3"/>
  <c r="F5" i="3"/>
  <c r="F6" i="3"/>
  <c r="G6" i="3" s="1"/>
  <c r="F3" i="4"/>
  <c r="D5" i="4"/>
  <c r="D7" i="4" s="1"/>
  <c r="J3" i="2"/>
  <c r="C7" i="3"/>
  <c r="F4" i="4"/>
  <c r="G4" i="4" s="1"/>
  <c r="D6" i="4"/>
  <c r="H23" i="2"/>
  <c r="D5" i="3"/>
  <c r="F7" i="4" l="1"/>
  <c r="G7" i="4" s="1"/>
  <c r="G3" i="4"/>
  <c r="D8" i="1"/>
  <c r="G5" i="3"/>
  <c r="G21" i="1" s="1"/>
  <c r="F21" i="1"/>
  <c r="G3" i="3"/>
  <c r="G19" i="1" s="1"/>
  <c r="G22" i="1" s="1"/>
  <c r="F19" i="1"/>
  <c r="F7" i="3"/>
  <c r="G7" i="3" s="1"/>
  <c r="E5" i="3"/>
  <c r="E21" i="1" s="1"/>
  <c r="E22" i="1" s="1"/>
  <c r="D21" i="1"/>
  <c r="D22" i="1" s="1"/>
  <c r="G8" i="1"/>
  <c r="L3" i="1"/>
  <c r="H8" i="1"/>
  <c r="L2" i="1"/>
  <c r="F20" i="1"/>
  <c r="G4" i="3"/>
  <c r="G20" i="1" s="1"/>
  <c r="F22" i="1" l="1"/>
</calcChain>
</file>

<file path=xl/sharedStrings.xml><?xml version="1.0" encoding="utf-8"?>
<sst xmlns="http://schemas.openxmlformats.org/spreadsheetml/2006/main" count="125" uniqueCount="72">
  <si>
    <t>DASHBOARD RENTABILITÉ PRODUITS — ENCG Settat</t>
  </si>
  <si>
    <t>Statut</t>
  </si>
  <si>
    <t>Nb</t>
  </si>
  <si>
    <t>Rentable</t>
  </si>
  <si>
    <t>Analyse Financière · Exercice 2024 · 20 Produits · 4 Familles · Université Hassan 1er</t>
  </si>
  <si>
    <t>Déficitaire</t>
  </si>
  <si>
    <t>▌ INDICATEURS CLÉS DE PERFORMANCE</t>
  </si>
  <si>
    <t>CA Total</t>
  </si>
  <si>
    <t>Marge Brute</t>
  </si>
  <si>
    <t>Marge Nette</t>
  </si>
  <si>
    <t>MB Moyenne</t>
  </si>
  <si>
    <t>MN Moyenne</t>
  </si>
  <si>
    <t>Rentables</t>
  </si>
  <si>
    <t>Déficitaires</t>
  </si>
  <si>
    <t>MAD</t>
  </si>
  <si>
    <t>%</t>
  </si>
  <si>
    <t>/ 20</t>
  </si>
  <si>
    <t>▌ ALERTES &amp; POINTS D'ATTENTION</t>
  </si>
  <si>
    <t>⚠️ Déficitaires</t>
  </si>
  <si>
    <t>🌟 Top Performer</t>
  </si>
  <si>
    <t>💡 Services sous tension</t>
  </si>
  <si>
    <t>📦 Accessoires secure</t>
  </si>
  <si>
    <t>P15 (-32,7%), P18 (-25,3%), P20 (-20,0%)</t>
  </si>
  <si>
    <t>Produit 17 : MN 39,9% — 111 007 MAD</t>
  </si>
  <si>
    <t>2/3 déficitaires dans Services</t>
  </si>
  <si>
    <t>Seuil couvert à 303%</t>
  </si>
  <si>
    <t>▌ SYNTHÈSE PAR FAMILLE</t>
  </si>
  <si>
    <t>Famille</t>
  </si>
  <si>
    <t>CA (MAD)</t>
  </si>
  <si>
    <t>MB %</t>
  </si>
  <si>
    <t>MN %</t>
  </si>
  <si>
    <t>Seuil Rent.</t>
  </si>
  <si>
    <t>Accessoires</t>
  </si>
  <si>
    <t>Logiciels</t>
  </si>
  <si>
    <t>Services</t>
  </si>
  <si>
    <t>Électronique</t>
  </si>
  <si>
    <t>TOTAL / MOYENNE</t>
  </si>
  <si>
    <t>Source : Analyse_Rentabilite_Produit.xlsx · ENCG Settat — Université Hassan 1er · Exercice 2024</t>
  </si>
  <si>
    <t>Données Détaillées par Produit — ENCG Settat</t>
  </si>
  <si>
    <t>Produit</t>
  </si>
  <si>
    <t>Quantités</t>
  </si>
  <si>
    <t>Coût Variable</t>
  </si>
  <si>
    <t>Coût Fixe</t>
  </si>
  <si>
    <t>Produit 01</t>
  </si>
  <si>
    <t>Produit 02</t>
  </si>
  <si>
    <t>Produit 03</t>
  </si>
  <si>
    <t>Produit 04</t>
  </si>
  <si>
    <t>Produit 05</t>
  </si>
  <si>
    <t>Produit 06</t>
  </si>
  <si>
    <t>Produit 07</t>
  </si>
  <si>
    <t>Produit 08</t>
  </si>
  <si>
    <t>Produit 09</t>
  </si>
  <si>
    <t>Produit 10</t>
  </si>
  <si>
    <t>Produit 11</t>
  </si>
  <si>
    <t>Produit 12</t>
  </si>
  <si>
    <t>Produit 13</t>
  </si>
  <si>
    <t>Produit 14</t>
  </si>
  <si>
    <t>Produit 15</t>
  </si>
  <si>
    <t>Produit 16</t>
  </si>
  <si>
    <t>Produit 17</t>
  </si>
  <si>
    <t>Produit 18</t>
  </si>
  <si>
    <t>Produit 19</t>
  </si>
  <si>
    <t>Produit 20</t>
  </si>
  <si>
    <t>TOTAUX / MOYENNES</t>
  </si>
  <si>
    <t>Analyse par Famille de Produits — ENCG Settat</t>
  </si>
  <si>
    <t>Nb Produits</t>
  </si>
  <si>
    <t>Couv. Seuil</t>
  </si>
  <si>
    <t>Marge Sécu.</t>
  </si>
  <si>
    <t>Analyse du Seuil de Rentabilité par Famille — ENCG Settat</t>
  </si>
  <si>
    <t>CA Réel</t>
  </si>
  <si>
    <t>Taux MB/CA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</si>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</sst>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&quot; MAD&quot;"/>
    <numFmt numFmtId="165" formatCode="0.0%"/>
  </numFmts>
  <fonts count="1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D4A017"/>
      <name val="Arial"/>
      <charset val="1"/>
    </font>
    <font>
      <b/>
      <sz val="11"/>
      <color rgb="FF006633"/>
      <name val="Arial"/>
      <charset val="1"/>
    </font>
    <font>
      <b/>
      <sz val="8"/>
      <color rgb="FF5A7A65"/>
      <name val="Arial"/>
      <charset val="1"/>
    </font>
    <font>
      <b/>
      <sz val="14"/>
      <color rgb="FF006633"/>
      <name val="Arial"/>
      <charset val="1"/>
    </font>
    <font>
      <b/>
      <sz val="14"/>
      <color rgb="FFD4A017"/>
      <name val="Arial"/>
      <charset val="1"/>
    </font>
    <font>
      <b/>
      <sz val="14"/>
      <color rgb="FFE53E3E"/>
      <name val="Arial"/>
      <charset val="1"/>
    </font>
    <font>
      <sz val="8"/>
      <color rgb="FF5A7A65"/>
      <name val="Arial"/>
      <charset val="1"/>
    </font>
    <font>
      <b/>
      <sz val="9"/>
      <color rgb="FFE53E3E"/>
      <name val="Arial"/>
      <charset val="1"/>
    </font>
    <font>
      <b/>
      <sz val="9"/>
      <color rgb="FF006633"/>
      <name val="Arial"/>
      <charset val="1"/>
    </font>
    <font>
      <b/>
      <sz val="9"/>
      <color rgb="FFD4A017"/>
      <name val="Arial"/>
      <charset val="1"/>
    </font>
    <font>
      <sz val="8"/>
      <color rgb="FF1A2E22"/>
      <name val="Arial"/>
      <charset val="1"/>
    </font>
    <font>
      <b/>
      <sz val="9"/>
      <color rgb="FFFFFFFF"/>
      <name val="Arial"/>
      <charset val="1"/>
    </font>
    <font>
      <b/>
      <sz val="9"/>
      <color rgb="FF1A2E22"/>
      <name val="Arial"/>
      <charset val="1"/>
    </font>
    <font>
      <sz val="9"/>
      <color rgb="FF1A2E22"/>
      <name val="Arial"/>
      <charset val="1"/>
    </font>
    <font>
      <i/>
      <sz val="8"/>
      <color rgb="FF5A7A65"/>
      <name val="Arial"/>
      <charset val="1"/>
    </font>
    <font>
      <b/>
      <sz val="13"/>
      <color rgb="FFFFFFFF"/>
      <name val="Arial"/>
      <charset val="1"/>
    </font>
    <font>
      <sz val="9"/>
      <color rgb="FF0000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004D26"/>
        <bgColor rgb="FF006633"/>
      </patternFill>
    </fill>
    <fill>
      <patternFill patternType="solid">
        <fgColor rgb="FF006633"/>
        <bgColor rgb="FF004D26"/>
      </patternFill>
    </fill>
    <fill>
      <patternFill patternType="solid">
        <fgColor rgb="FFE6F2EB"/>
        <bgColor rgb="FFE8F5EE"/>
      </patternFill>
    </fill>
    <fill>
      <patternFill patternType="solid">
        <fgColor rgb="FFFDF6DC"/>
        <bgColor rgb="FFFFF0F0"/>
      </patternFill>
    </fill>
    <fill>
      <patternFill patternType="solid">
        <fgColor rgb="FFE8F5EE"/>
        <bgColor rgb="FFE6F2EB"/>
      </patternFill>
    </fill>
    <fill>
      <patternFill patternType="solid">
        <fgColor rgb="FFFFF0F0"/>
        <bgColor rgb="FFFDF6DC"/>
      </patternFill>
    </fill>
    <fill>
      <patternFill patternType="solid">
        <fgColor rgb="FFFFFFFF"/>
        <bgColor rgb="FFF9F9F9"/>
      </patternFill>
    </fill>
  </fills>
  <borders count="4">
    <border>
      <left/>
      <right/>
      <top/>
      <bottom/>
      <diagonal/>
    </border>
    <border>
      <left style="thin">
        <color rgb="FFD0E4D8"/>
      </left>
      <right style="thin">
        <color rgb="FFD0E4D8"/>
      </right>
      <top style="thin">
        <color rgb="FFD0E4D8"/>
      </top>
      <bottom style="thin">
        <color rgb="FFD0E4D8"/>
      </bottom>
      <diagonal/>
    </border>
    <border>
      <left style="thin">
        <color rgb="FFD0E4D8"/>
      </left>
      <right/>
      <top style="thin">
        <color rgb="FFD0E4D8"/>
      </top>
      <bottom style="thin">
        <color rgb="FFD0E4D8"/>
      </bottom>
      <diagonal/>
    </border>
    <border>
      <left/>
      <right/>
      <top/>
      <bottom style="thin">
        <color rgb="FFD0E4D8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3" fillId="2" borderId="2" xfId="0" applyFont="1" applyFill="1" applyBorder="1" applyAlignment="1">
      <alignment horizontal="left" vertical="center"/>
    </xf>
    <xf numFmtId="0" fontId="17" fillId="3" borderId="0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Font="1"/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1" fontId="7" fillId="7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3" fontId="15" fillId="4" borderId="1" xfId="0" applyNumberFormat="1" applyFont="1" applyFill="1" applyBorder="1" applyAlignment="1">
      <alignment horizontal="right" vertical="center"/>
    </xf>
    <xf numFmtId="165" fontId="15" fillId="4" borderId="1" xfId="0" applyNumberFormat="1" applyFont="1" applyFill="1" applyBorder="1" applyAlignment="1">
      <alignment horizontal="right" vertical="center"/>
    </xf>
    <xf numFmtId="0" fontId="14" fillId="8" borderId="1" xfId="0" applyFont="1" applyFill="1" applyBorder="1" applyAlignment="1">
      <alignment horizontal="left" vertical="center"/>
    </xf>
    <xf numFmtId="3" fontId="15" fillId="8" borderId="1" xfId="0" applyNumberFormat="1" applyFont="1" applyFill="1" applyBorder="1" applyAlignment="1">
      <alignment horizontal="right" vertical="center"/>
    </xf>
    <xf numFmtId="165" fontId="15" fillId="8" borderId="1" xfId="0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left" vertical="center"/>
    </xf>
    <xf numFmtId="3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0" fontId="15" fillId="4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right" vertical="center"/>
    </xf>
    <xf numFmtId="3" fontId="18" fillId="4" borderId="1" xfId="0" applyNumberFormat="1" applyFont="1" applyFill="1" applyBorder="1" applyAlignment="1">
      <alignment horizontal="right" vertical="center"/>
    </xf>
    <xf numFmtId="0" fontId="13" fillId="4" borderId="1" xfId="0" applyFont="1" applyFill="1" applyBorder="1" applyAlignment="1">
      <alignment horizontal="right" vertical="center"/>
    </xf>
    <xf numFmtId="0" fontId="15" fillId="8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right" vertical="center"/>
    </xf>
    <xf numFmtId="3" fontId="18" fillId="8" borderId="1" xfId="0" applyNumberFormat="1" applyFont="1" applyFill="1" applyBorder="1" applyAlignment="1">
      <alignment horizontal="right" vertical="center"/>
    </xf>
    <xf numFmtId="0" fontId="13" fillId="8" borderId="1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right" vertical="center"/>
    </xf>
    <xf numFmtId="1" fontId="15" fillId="4" borderId="1" xfId="0" applyNumberFormat="1" applyFont="1" applyFill="1" applyBorder="1" applyAlignment="1">
      <alignment horizontal="right" vertical="center"/>
    </xf>
    <xf numFmtId="1" fontId="15" fillId="8" borderId="1" xfId="0" applyNumberFormat="1" applyFont="1" applyFill="1" applyBorder="1" applyAlignment="1">
      <alignment horizontal="right" vertical="center"/>
    </xf>
    <xf numFmtId="1" fontId="1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33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DF6DC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2EB"/>
      <rgbColor rgb="FFD0E4D8"/>
      <rgbColor rgb="FFFFF0F0"/>
      <rgbColor rgb="FF99CCFF"/>
      <rgbColor rgb="FFFF99CC"/>
      <rgbColor rgb="FFCC99FF"/>
      <rgbColor rgb="FFF9F9F9"/>
      <rgbColor rgb="FF3366FF"/>
      <rgbColor rgb="FF33CCCC"/>
      <rgbColor rgb="FF99CC00"/>
      <rgbColor rgb="FFFFCC00"/>
      <rgbColor rgb="FFD4A017"/>
      <rgbColor rgb="FFE53E3E"/>
      <rgbColor rgb="FF5A7A65"/>
      <rgbColor rgb="FF969696"/>
      <rgbColor rgb="FF003366"/>
      <rgbColor rgb="FF339966"/>
      <rgbColor rgb="FF004D26"/>
      <rgbColor rgb="FF333300"/>
      <rgbColor rgb="FF993300"/>
      <rgbColor rgb="FF993366"/>
      <rgbColor rgb="FF333399"/>
      <rgbColor rgb="FF1A2E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 par Famille (MAD)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Familles!$C$2</c:f>
              <c:strCache>
                <c:ptCount val="1"/>
                <c:pt idx="0">
                  <c:v>CA Total</c:v>
                </c:pt>
              </c:strCache>
            </c:strRef>
          </c:tx>
          <c:spPr>
            <a:solidFill>
              <a:srgbClr val="006633"/>
            </a:solidFill>
            <a:ln w="9360">
              <a:solidFill>
                <a:srgbClr val="004D26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Familles!$A$3:$A$6</c:f>
              <c:strCache>
                <c:ptCount val="4"/>
                <c:pt idx="0">
                  <c:v>Accessoires</c:v>
                </c:pt>
                <c:pt idx="1">
                  <c:v>Logiciels</c:v>
                </c:pt>
                <c:pt idx="2">
                  <c:v>Services</c:v>
                </c:pt>
                <c:pt idx="3">
                  <c:v>Électronique</c:v>
                </c:pt>
              </c:strCache>
            </c:strRef>
          </c:cat>
          <c:val>
            <c:numRef>
              <c:f>Familles!$C$3:$C$6</c:f>
              <c:numCache>
                <c:formatCode>#,##0</c:formatCode>
                <c:ptCount val="4"/>
                <c:pt idx="0">
                  <c:v>284079</c:v>
                </c:pt>
                <c:pt idx="1">
                  <c:v>1211895</c:v>
                </c:pt>
                <c:pt idx="2">
                  <c:v>973205</c:v>
                </c:pt>
                <c:pt idx="3">
                  <c:v>942749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B-48FC-B904-A24B278DE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310677"/>
        <c:axId val="44186194"/>
      </c:barChart>
      <c:catAx>
        <c:axId val="523106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Famille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186194"/>
        <c:crosses val="autoZero"/>
        <c:auto val="1"/>
        <c:lblAlgn val="ctr"/>
        <c:lblOffset val="100"/>
        <c:noMultiLvlLbl val="0"/>
      </c:catAx>
      <c:valAx>
        <c:axId val="441861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MAD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3106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Marge Brute vs Marge Nette par Famille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Familles!$D$2</c:f>
              <c:strCache>
                <c:ptCount val="1"/>
                <c:pt idx="0">
                  <c:v>Marge Brute</c:v>
                </c:pt>
              </c:strCache>
            </c:strRef>
          </c:tx>
          <c:spPr>
            <a:solidFill>
              <a:srgbClr val="00663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Familles!$A$3:$A$6</c:f>
              <c:strCache>
                <c:ptCount val="4"/>
                <c:pt idx="0">
                  <c:v>Accessoires</c:v>
                </c:pt>
                <c:pt idx="1">
                  <c:v>Logiciels</c:v>
                </c:pt>
                <c:pt idx="2">
                  <c:v>Services</c:v>
                </c:pt>
                <c:pt idx="3">
                  <c:v>Électronique</c:v>
                </c:pt>
              </c:strCache>
            </c:strRef>
          </c:cat>
          <c:val>
            <c:numRef>
              <c:f>Familles!$D$3:$D$6</c:f>
              <c:numCache>
                <c:formatCode>#,##0</c:formatCode>
                <c:ptCount val="4"/>
                <c:pt idx="0">
                  <c:v>141372</c:v>
                </c:pt>
                <c:pt idx="1">
                  <c:v>604980</c:v>
                </c:pt>
                <c:pt idx="2">
                  <c:v>520666</c:v>
                </c:pt>
                <c:pt idx="3">
                  <c:v>445588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B-43AC-A9C5-2651A0D23AA7}"/>
            </c:ext>
          </c:extLst>
        </c:ser>
        <c:ser>
          <c:idx val="1"/>
          <c:order val="1"/>
          <c:tx>
            <c:strRef>
              <c:f>Familles!$F$2</c:f>
              <c:strCache>
                <c:ptCount val="1"/>
                <c:pt idx="0">
                  <c:v>Marge Nette</c:v>
                </c:pt>
              </c:strCache>
            </c:strRef>
          </c:tx>
          <c:spPr>
            <a:solidFill>
              <a:srgbClr val="D4A01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Familles!$A$3:$A$6</c:f>
              <c:strCache>
                <c:ptCount val="4"/>
                <c:pt idx="0">
                  <c:v>Accessoires</c:v>
                </c:pt>
                <c:pt idx="1">
                  <c:v>Logiciels</c:v>
                </c:pt>
                <c:pt idx="2">
                  <c:v>Services</c:v>
                </c:pt>
                <c:pt idx="3">
                  <c:v>Électronique</c:v>
                </c:pt>
              </c:strCache>
            </c:strRef>
          </c:cat>
          <c:val>
            <c:numRef>
              <c:f>Familles!$F$3:$F$6</c:f>
              <c:numCache>
                <c:formatCode>#,##0</c:formatCode>
                <c:ptCount val="4"/>
                <c:pt idx="0">
                  <c:v>94740</c:v>
                </c:pt>
                <c:pt idx="1">
                  <c:v>252560</c:v>
                </c:pt>
                <c:pt idx="2">
                  <c:v>230902</c:v>
                </c:pt>
                <c:pt idx="3">
                  <c:v>279808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BB-43AC-A9C5-2651A0D23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534272"/>
        <c:axId val="30588182"/>
      </c:barChart>
      <c:catAx>
        <c:axId val="8753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588182"/>
        <c:crosses val="autoZero"/>
        <c:auto val="1"/>
        <c:lblAlgn val="ctr"/>
        <c:lblOffset val="100"/>
        <c:noMultiLvlLbl val="0"/>
      </c:catAx>
      <c:valAx>
        <c:axId val="305881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MAD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5342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4</xdr:col>
      <xdr:colOff>768720</xdr:colOff>
      <xdr:row>41</xdr:row>
      <xdr:rowOff>170640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809625</xdr:colOff>
      <xdr:row>25</xdr:row>
      <xdr:rowOff>209550</xdr:rowOff>
    </xdr:from>
    <xdr:to>
      <xdr:col>16</xdr:col>
      <xdr:colOff>178170</xdr:colOff>
      <xdr:row>41</xdr:row>
      <xdr:rowOff>151590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633"/>
  </sheetPr>
  <dimension ref="B1:L59"/>
  <sheetViews>
    <sheetView showGridLines="0" topLeftCell="C16" zoomScaleNormal="100" workbookViewId="0">
      <selection activeCell="G48" sqref="G48"/>
    </sheetView>
  </sheetViews>
  <sheetFormatPr baseColWidth="10" defaultColWidth="8.7109375" defaultRowHeight="15" x14ac:dyDescent="0.25"/>
  <cols>
    <col min="1" max="1" width="2" customWidth="1"/>
    <col min="2" max="3" width="20.85546875" bestFit="1" customWidth="1"/>
    <col min="4" max="4" width="18.5703125" bestFit="1" customWidth="1"/>
    <col min="5" max="7" width="16" customWidth="1"/>
    <col min="8" max="8" width="19.7109375" bestFit="1" customWidth="1"/>
    <col min="9" max="9" width="2" customWidth="1"/>
    <col min="11" max="12" width="13" hidden="1" customWidth="1"/>
  </cols>
  <sheetData>
    <row r="1" spans="2:12" ht="18" customHeight="1" x14ac:dyDescent="0.25">
      <c r="B1" s="12" t="s">
        <v>0</v>
      </c>
      <c r="C1" s="12"/>
      <c r="D1" s="12"/>
      <c r="E1" s="12"/>
      <c r="F1" s="12"/>
      <c r="G1" s="12"/>
      <c r="H1" s="12"/>
      <c r="K1" s="13" t="s">
        <v>1</v>
      </c>
      <c r="L1" s="13" t="s">
        <v>2</v>
      </c>
    </row>
    <row r="2" spans="2:12" ht="18" customHeight="1" x14ac:dyDescent="0.25">
      <c r="B2" s="12"/>
      <c r="C2" s="12"/>
      <c r="D2" s="12"/>
      <c r="E2" s="12"/>
      <c r="F2" s="12"/>
      <c r="G2" s="12"/>
      <c r="H2" s="12"/>
      <c r="K2" s="13" t="s">
        <v>3</v>
      </c>
      <c r="L2" s="13">
        <f>COUNTIF(Données!J3:J22,"Rentable")</f>
        <v>16</v>
      </c>
    </row>
    <row r="3" spans="2:12" ht="18" customHeight="1" x14ac:dyDescent="0.25">
      <c r="B3" s="11" t="s">
        <v>4</v>
      </c>
      <c r="C3" s="11"/>
      <c r="D3" s="11"/>
      <c r="E3" s="11"/>
      <c r="F3" s="11"/>
      <c r="G3" s="11"/>
      <c r="H3" s="11"/>
      <c r="K3" s="13" t="s">
        <v>5</v>
      </c>
      <c r="L3" s="13">
        <f>COUNTIF(Données!J3:J22,"Déficitaire")</f>
        <v>4</v>
      </c>
    </row>
    <row r="4" spans="2:12" ht="18" customHeight="1" x14ac:dyDescent="0.25"/>
    <row r="5" spans="2:12" ht="21.75" customHeight="1" x14ac:dyDescent="0.25">
      <c r="B5" s="10" t="s">
        <v>6</v>
      </c>
      <c r="C5" s="10"/>
      <c r="D5" s="10"/>
      <c r="E5" s="10"/>
      <c r="F5" s="10"/>
      <c r="G5" s="10"/>
      <c r="H5" s="10"/>
    </row>
    <row r="6" spans="2:12" ht="6" customHeight="1" x14ac:dyDescent="0.25"/>
    <row r="7" spans="2:12" ht="19.5" customHeight="1" x14ac:dyDescent="0.25">
      <c r="B7" s="14" t="s">
        <v>7</v>
      </c>
      <c r="C7" s="15" t="s">
        <v>8</v>
      </c>
      <c r="D7" s="16" t="s">
        <v>9</v>
      </c>
      <c r="E7" s="14" t="s">
        <v>10</v>
      </c>
      <c r="F7" s="15" t="s">
        <v>11</v>
      </c>
      <c r="G7" s="14" t="s">
        <v>12</v>
      </c>
      <c r="H7" s="17" t="s">
        <v>13</v>
      </c>
    </row>
    <row r="8" spans="2:12" ht="30" customHeight="1" x14ac:dyDescent="0.25">
      <c r="B8" s="18">
        <f>Données!D23</f>
        <v>3411928</v>
      </c>
      <c r="C8" s="19">
        <f>Données!H23</f>
        <v>1712606</v>
      </c>
      <c r="D8" s="20">
        <f>Données!H23-SUM(Données!F3:F22)</f>
        <v>858010</v>
      </c>
      <c r="E8" s="21">
        <f>AVERAGE(Données!G3:G22)</f>
        <v>0.49033316906994912</v>
      </c>
      <c r="F8" s="22">
        <f>AVERAGE(Données!I3:I22)</f>
        <v>0.15889593115765085</v>
      </c>
      <c r="G8" s="23">
        <f>COUNTIF(Données!J3:J22,"Rentable")</f>
        <v>16</v>
      </c>
      <c r="H8" s="24">
        <f>COUNTIF(Données!J3:J22,"Déficitaire")</f>
        <v>4</v>
      </c>
    </row>
    <row r="9" spans="2:12" ht="15.75" customHeight="1" x14ac:dyDescent="0.25">
      <c r="B9" s="25" t="s">
        <v>14</v>
      </c>
      <c r="C9" s="26" t="s">
        <v>14</v>
      </c>
      <c r="D9" s="27" t="s">
        <v>14</v>
      </c>
      <c r="E9" s="25" t="s">
        <v>15</v>
      </c>
      <c r="F9" s="26" t="s">
        <v>15</v>
      </c>
      <c r="G9" s="25" t="s">
        <v>16</v>
      </c>
      <c r="H9" s="28" t="s">
        <v>16</v>
      </c>
    </row>
    <row r="10" spans="2:12" ht="7.5" customHeight="1" x14ac:dyDescent="0.25"/>
    <row r="11" spans="2:12" ht="21.75" customHeight="1" x14ac:dyDescent="0.25">
      <c r="B11" s="10" t="s">
        <v>17</v>
      </c>
      <c r="C11" s="10"/>
      <c r="D11" s="10"/>
      <c r="E11" s="10"/>
      <c r="F11" s="10"/>
      <c r="G11" s="10"/>
      <c r="H11" s="10"/>
    </row>
    <row r="12" spans="2:12" ht="15.75" customHeight="1" x14ac:dyDescent="0.25">
      <c r="B12" s="9" t="s">
        <v>18</v>
      </c>
      <c r="C12" s="9"/>
      <c r="D12" s="8" t="s">
        <v>19</v>
      </c>
      <c r="E12" s="8"/>
      <c r="F12" s="7" t="s">
        <v>20</v>
      </c>
      <c r="G12" s="7"/>
      <c r="H12" s="29" t="s">
        <v>21</v>
      </c>
    </row>
    <row r="13" spans="2:12" ht="15.75" customHeight="1" x14ac:dyDescent="0.25">
      <c r="B13" s="6" t="s">
        <v>22</v>
      </c>
      <c r="C13" s="6"/>
      <c r="D13" s="5" t="s">
        <v>23</v>
      </c>
      <c r="E13" s="5"/>
      <c r="F13" s="4" t="s">
        <v>24</v>
      </c>
      <c r="G13" s="4"/>
      <c r="H13" s="30" t="s">
        <v>25</v>
      </c>
    </row>
    <row r="14" spans="2:12" ht="18" customHeight="1" x14ac:dyDescent="0.25"/>
    <row r="15" spans="2:12" ht="7.5" customHeight="1" x14ac:dyDescent="0.25"/>
    <row r="16" spans="2:12" ht="21.75" customHeight="1" x14ac:dyDescent="0.25">
      <c r="B16" s="10" t="s">
        <v>26</v>
      </c>
      <c r="C16" s="10"/>
      <c r="D16" s="10"/>
      <c r="E16" s="10"/>
      <c r="F16" s="10"/>
      <c r="G16" s="10"/>
      <c r="H16" s="10"/>
    </row>
    <row r="17" spans="2:8" ht="19.5" customHeight="1" x14ac:dyDescent="0.25">
      <c r="B17" s="31" t="s">
        <v>27</v>
      </c>
      <c r="C17" s="31" t="s">
        <v>28</v>
      </c>
      <c r="D17" s="31" t="s">
        <v>8</v>
      </c>
      <c r="E17" s="31" t="s">
        <v>29</v>
      </c>
      <c r="F17" s="31" t="s">
        <v>9</v>
      </c>
      <c r="G17" s="31" t="s">
        <v>30</v>
      </c>
      <c r="H17" s="31" t="s">
        <v>31</v>
      </c>
    </row>
    <row r="18" spans="2:8" ht="18" customHeight="1" x14ac:dyDescent="0.25">
      <c r="B18" s="32" t="s">
        <v>32</v>
      </c>
      <c r="C18" s="33" t="str">
        <f>Familles!C2</f>
        <v>CA Total</v>
      </c>
      <c r="D18" s="33" t="str">
        <f>Familles!D2</f>
        <v>Marge Brute</v>
      </c>
      <c r="E18" s="34" t="str">
        <f>Familles!E2</f>
        <v>MB %</v>
      </c>
      <c r="F18" s="33" t="str">
        <f>Familles!F2</f>
        <v>Marge Nette</v>
      </c>
      <c r="G18" s="34" t="str">
        <f>Familles!G2</f>
        <v>MN %</v>
      </c>
      <c r="H18" s="33" t="str">
        <f>Familles!H2</f>
        <v>Seuil Rent.</v>
      </c>
    </row>
    <row r="19" spans="2:8" ht="18" customHeight="1" x14ac:dyDescent="0.25">
      <c r="B19" s="35" t="s">
        <v>33</v>
      </c>
      <c r="C19" s="36">
        <f>Familles!C3</f>
        <v>284079</v>
      </c>
      <c r="D19" s="36">
        <f>Familles!D3</f>
        <v>141372</v>
      </c>
      <c r="E19" s="37">
        <f>Familles!E3</f>
        <v>0.49765030150063888</v>
      </c>
      <c r="F19" s="36">
        <f>Familles!F3</f>
        <v>94740</v>
      </c>
      <c r="G19" s="37">
        <f>Familles!G3</f>
        <v>0.33349878026886887</v>
      </c>
      <c r="H19" s="36">
        <f>Familles!H3</f>
        <v>93704</v>
      </c>
    </row>
    <row r="20" spans="2:8" ht="18" customHeight="1" x14ac:dyDescent="0.25">
      <c r="B20" s="32" t="s">
        <v>34</v>
      </c>
      <c r="C20" s="33">
        <f>Familles!C4</f>
        <v>1211895</v>
      </c>
      <c r="D20" s="33">
        <f>Familles!D4</f>
        <v>604980</v>
      </c>
      <c r="E20" s="34">
        <f>Familles!E4</f>
        <v>0.49920166351045264</v>
      </c>
      <c r="F20" s="33">
        <f>Familles!F4</f>
        <v>252560</v>
      </c>
      <c r="G20" s="34">
        <f>Familles!G4</f>
        <v>0.20840089281662191</v>
      </c>
      <c r="H20" s="33">
        <f>Familles!H4</f>
        <v>596659</v>
      </c>
    </row>
    <row r="21" spans="2:8" ht="18" customHeight="1" x14ac:dyDescent="0.25">
      <c r="B21" s="35" t="s">
        <v>35</v>
      </c>
      <c r="C21" s="36">
        <f>Familles!C5</f>
        <v>973205</v>
      </c>
      <c r="D21" s="36">
        <f>Familles!D5</f>
        <v>520666</v>
      </c>
      <c r="E21" s="37">
        <f>Familles!E5</f>
        <v>0.53500136148088018</v>
      </c>
      <c r="F21" s="36">
        <f>Familles!F5</f>
        <v>230902</v>
      </c>
      <c r="G21" s="37">
        <f>Familles!G5</f>
        <v>0.23725936467650702</v>
      </c>
      <c r="H21" s="36">
        <f>Familles!H5</f>
        <v>482322</v>
      </c>
    </row>
    <row r="22" spans="2:8" ht="19.5" customHeight="1" x14ac:dyDescent="0.25">
      <c r="B22" s="38" t="s">
        <v>36</v>
      </c>
      <c r="C22" s="39">
        <f>SUM(C18:C21)</f>
        <v>2469179</v>
      </c>
      <c r="D22" s="39">
        <f>SUM(D18:D21)</f>
        <v>1267018</v>
      </c>
      <c r="E22" s="40">
        <f>AVERAGE(E18:E21)</f>
        <v>0.5106177754973239</v>
      </c>
      <c r="F22" s="39">
        <f>SUM(F18:F21)</f>
        <v>578202</v>
      </c>
      <c r="G22" s="40">
        <f>AVERAGE(G18:G21)</f>
        <v>0.25971967925399925</v>
      </c>
      <c r="H22" s="39">
        <f>SUM(H18:H21)</f>
        <v>1172685</v>
      </c>
    </row>
    <row r="23" spans="2:8" ht="18" customHeight="1" x14ac:dyDescent="0.25"/>
    <row r="24" spans="2:8" ht="7.5" customHeight="1" x14ac:dyDescent="0.25"/>
    <row r="25" spans="2:8" ht="18" customHeight="1" x14ac:dyDescent="0.25">
      <c r="B25" s="3" t="s">
        <v>37</v>
      </c>
      <c r="C25" s="3"/>
      <c r="D25" s="3"/>
      <c r="E25" s="3"/>
      <c r="F25" s="3"/>
      <c r="G25" s="3"/>
      <c r="H25" s="3"/>
    </row>
    <row r="26" spans="2:8" ht="18" customHeight="1" x14ac:dyDescent="0.25"/>
    <row r="27" spans="2:8" ht="18" customHeight="1" x14ac:dyDescent="0.25"/>
    <row r="28" spans="2:8" ht="18" customHeight="1" x14ac:dyDescent="0.25"/>
    <row r="29" spans="2:8" ht="18" customHeight="1" x14ac:dyDescent="0.25"/>
    <row r="30" spans="2:8" ht="18" customHeight="1" x14ac:dyDescent="0.25"/>
    <row r="31" spans="2:8" ht="18" customHeight="1" x14ac:dyDescent="0.25"/>
    <row r="32" spans="2:8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</sheetData>
  <mergeCells count="12">
    <mergeCell ref="B13:C13"/>
    <mergeCell ref="D13:E13"/>
    <mergeCell ref="F13:G13"/>
    <mergeCell ref="B16:H16"/>
    <mergeCell ref="B25:H25"/>
    <mergeCell ref="B1:H2"/>
    <mergeCell ref="B3:H3"/>
    <mergeCell ref="B5:H5"/>
    <mergeCell ref="B11:H11"/>
    <mergeCell ref="B12:C12"/>
    <mergeCell ref="D12:E12"/>
    <mergeCell ref="F12:G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017"/>
  </sheetPr>
  <dimension ref="A1:J23"/>
  <sheetViews>
    <sheetView showGridLines="0" zoomScaleNormal="100" workbookViewId="0">
      <pane ySplit="2" topLeftCell="A3" activePane="bottomLeft" state="frozen"/>
      <selection pane="bottomLeft" sqref="A1:J1"/>
    </sheetView>
  </sheetViews>
  <sheetFormatPr baseColWidth="10" defaultColWidth="8.7109375" defaultRowHeight="15" x14ac:dyDescent="0.25"/>
  <cols>
    <col min="1" max="6" width="14" customWidth="1"/>
    <col min="7" max="7" width="10" customWidth="1"/>
    <col min="8" max="8" width="14" customWidth="1"/>
    <col min="9" max="9" width="10" customWidth="1"/>
    <col min="10" max="10" width="14" customWidth="1"/>
  </cols>
  <sheetData>
    <row r="1" spans="1:10" ht="24" customHeight="1" x14ac:dyDescent="0.25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</row>
    <row r="2" spans="1:10" ht="19.5" customHeight="1" x14ac:dyDescent="0.25">
      <c r="A2" s="31" t="s">
        <v>39</v>
      </c>
      <c r="B2" s="31" t="s">
        <v>27</v>
      </c>
      <c r="C2" s="31" t="s">
        <v>40</v>
      </c>
      <c r="D2" s="31" t="s">
        <v>28</v>
      </c>
      <c r="E2" s="31" t="s">
        <v>41</v>
      </c>
      <c r="F2" s="31" t="s">
        <v>42</v>
      </c>
      <c r="G2" s="31" t="s">
        <v>29</v>
      </c>
      <c r="H2" s="31" t="s">
        <v>8</v>
      </c>
      <c r="I2" s="31" t="s">
        <v>30</v>
      </c>
      <c r="J2" s="31" t="s">
        <v>1</v>
      </c>
    </row>
    <row r="3" spans="1:10" ht="16.5" customHeight="1" x14ac:dyDescent="0.25">
      <c r="A3" s="32" t="s">
        <v>43</v>
      </c>
      <c r="B3" s="41" t="s">
        <v>33</v>
      </c>
      <c r="C3" s="42">
        <v>1</v>
      </c>
      <c r="D3" s="43">
        <v>77576</v>
      </c>
      <c r="E3" s="43">
        <v>32030</v>
      </c>
      <c r="F3" s="43">
        <v>22428</v>
      </c>
      <c r="G3" s="34">
        <f t="shared" ref="G3:G22" si="0">(D3-E3)/D3</f>
        <v>0.587114571516964</v>
      </c>
      <c r="H3" s="33">
        <f t="shared" ref="H3:H22" si="1">D3-E3</f>
        <v>45546</v>
      </c>
      <c r="I3" s="34">
        <f t="shared" ref="I3:I22" si="2">(D3-E3-F3)/D3</f>
        <v>0.29800453748582034</v>
      </c>
      <c r="J3" s="44" t="str">
        <f t="shared" ref="J3:J22" si="3">IF(I3&gt;=0,"Rentable","Déficitaire")</f>
        <v>Rentable</v>
      </c>
    </row>
    <row r="4" spans="1:10" ht="16.5" customHeight="1" x14ac:dyDescent="0.25">
      <c r="A4" s="35" t="s">
        <v>44</v>
      </c>
      <c r="B4" s="45" t="s">
        <v>34</v>
      </c>
      <c r="C4" s="46">
        <v>1</v>
      </c>
      <c r="D4" s="47">
        <v>251392</v>
      </c>
      <c r="E4" s="47">
        <v>138986</v>
      </c>
      <c r="F4" s="47">
        <v>34536</v>
      </c>
      <c r="G4" s="37">
        <f t="shared" si="0"/>
        <v>0.44713435590631362</v>
      </c>
      <c r="H4" s="36">
        <f t="shared" si="1"/>
        <v>112406</v>
      </c>
      <c r="I4" s="37">
        <f t="shared" si="2"/>
        <v>0.30975528258655805</v>
      </c>
      <c r="J4" s="48" t="str">
        <f t="shared" si="3"/>
        <v>Rentable</v>
      </c>
    </row>
    <row r="5" spans="1:10" ht="16.5" customHeight="1" x14ac:dyDescent="0.25">
      <c r="A5" s="32" t="s">
        <v>45</v>
      </c>
      <c r="B5" s="41" t="s">
        <v>35</v>
      </c>
      <c r="C5" s="42">
        <v>1</v>
      </c>
      <c r="D5" s="43">
        <v>262659</v>
      </c>
      <c r="E5" s="43">
        <v>105656</v>
      </c>
      <c r="F5" s="43">
        <v>22560</v>
      </c>
      <c r="G5" s="34">
        <f t="shared" si="0"/>
        <v>0.59774460422068154</v>
      </c>
      <c r="H5" s="33">
        <f t="shared" si="1"/>
        <v>157003</v>
      </c>
      <c r="I5" s="34">
        <f t="shared" si="2"/>
        <v>0.51185377238168117</v>
      </c>
      <c r="J5" s="44" t="str">
        <f t="shared" si="3"/>
        <v>Rentable</v>
      </c>
    </row>
    <row r="6" spans="1:10" ht="16.5" customHeight="1" x14ac:dyDescent="0.25">
      <c r="A6" s="35" t="s">
        <v>46</v>
      </c>
      <c r="B6" s="45" t="s">
        <v>33</v>
      </c>
      <c r="C6" s="46">
        <v>1</v>
      </c>
      <c r="D6" s="47">
        <v>139715</v>
      </c>
      <c r="E6" s="47">
        <v>66801</v>
      </c>
      <c r="F6" s="47">
        <v>20196</v>
      </c>
      <c r="G6" s="37">
        <f t="shared" si="0"/>
        <v>0.52187667752209854</v>
      </c>
      <c r="H6" s="36">
        <f t="shared" si="1"/>
        <v>72914</v>
      </c>
      <c r="I6" s="37">
        <f t="shared" si="2"/>
        <v>0.37732526929821419</v>
      </c>
      <c r="J6" s="48" t="str">
        <f t="shared" si="3"/>
        <v>Rentable</v>
      </c>
    </row>
    <row r="7" spans="1:10" ht="16.5" customHeight="1" x14ac:dyDescent="0.25">
      <c r="A7" s="32" t="s">
        <v>47</v>
      </c>
      <c r="B7" s="41" t="s">
        <v>33</v>
      </c>
      <c r="C7" s="42">
        <v>1</v>
      </c>
      <c r="D7" s="43">
        <v>232208</v>
      </c>
      <c r="E7" s="43">
        <v>117321</v>
      </c>
      <c r="F7" s="43">
        <v>43776</v>
      </c>
      <c r="G7" s="34">
        <f t="shared" si="0"/>
        <v>0.49475900916419763</v>
      </c>
      <c r="H7" s="33">
        <f t="shared" si="1"/>
        <v>114887</v>
      </c>
      <c r="I7" s="34">
        <f t="shared" si="2"/>
        <v>0.3062383724936264</v>
      </c>
      <c r="J7" s="44" t="str">
        <f t="shared" si="3"/>
        <v>Rentable</v>
      </c>
    </row>
    <row r="8" spans="1:10" ht="16.5" customHeight="1" x14ac:dyDescent="0.25">
      <c r="A8" s="35" t="s">
        <v>48</v>
      </c>
      <c r="B8" s="45" t="s">
        <v>34</v>
      </c>
      <c r="C8" s="46">
        <v>1</v>
      </c>
      <c r="D8" s="47">
        <v>241871</v>
      </c>
      <c r="E8" s="47">
        <v>100625</v>
      </c>
      <c r="F8" s="47">
        <v>44544</v>
      </c>
      <c r="G8" s="37">
        <f t="shared" si="0"/>
        <v>0.58397244812317306</v>
      </c>
      <c r="H8" s="36">
        <f t="shared" si="1"/>
        <v>141246</v>
      </c>
      <c r="I8" s="37">
        <f t="shared" si="2"/>
        <v>0.39980816220216564</v>
      </c>
      <c r="J8" s="48" t="str">
        <f t="shared" si="3"/>
        <v>Rentable</v>
      </c>
    </row>
    <row r="9" spans="1:10" ht="16.5" customHeight="1" x14ac:dyDescent="0.25">
      <c r="A9" s="32" t="s">
        <v>49</v>
      </c>
      <c r="B9" s="41" t="s">
        <v>35</v>
      </c>
      <c r="C9" s="42">
        <v>1</v>
      </c>
      <c r="D9" s="43">
        <v>203691</v>
      </c>
      <c r="E9" s="43">
        <v>122272</v>
      </c>
      <c r="F9" s="43">
        <v>38220</v>
      </c>
      <c r="G9" s="34">
        <f t="shared" si="0"/>
        <v>0.39971820060778335</v>
      </c>
      <c r="H9" s="33">
        <f t="shared" si="1"/>
        <v>81419</v>
      </c>
      <c r="I9" s="34">
        <f t="shared" si="2"/>
        <v>0.21208104432694622</v>
      </c>
      <c r="J9" s="44" t="str">
        <f t="shared" si="3"/>
        <v>Rentable</v>
      </c>
    </row>
    <row r="10" spans="1:10" ht="16.5" customHeight="1" x14ac:dyDescent="0.25">
      <c r="A10" s="35" t="s">
        <v>50</v>
      </c>
      <c r="B10" s="45" t="s">
        <v>35</v>
      </c>
      <c r="C10" s="46">
        <v>1</v>
      </c>
      <c r="D10" s="47">
        <v>206730</v>
      </c>
      <c r="E10" s="47">
        <v>135883</v>
      </c>
      <c r="F10" s="47">
        <v>52704</v>
      </c>
      <c r="G10" s="37">
        <f t="shared" si="0"/>
        <v>0.34270304261597251</v>
      </c>
      <c r="H10" s="36">
        <f t="shared" si="1"/>
        <v>70847</v>
      </c>
      <c r="I10" s="37">
        <f t="shared" si="2"/>
        <v>8.7761814927683451E-2</v>
      </c>
      <c r="J10" s="48" t="str">
        <f t="shared" si="3"/>
        <v>Rentable</v>
      </c>
    </row>
    <row r="11" spans="1:10" ht="16.5" customHeight="1" x14ac:dyDescent="0.25">
      <c r="A11" s="32" t="s">
        <v>51</v>
      </c>
      <c r="B11" s="41" t="s">
        <v>33</v>
      </c>
      <c r="C11" s="42">
        <v>1</v>
      </c>
      <c r="D11" s="43">
        <v>241944</v>
      </c>
      <c r="E11" s="43">
        <v>125586</v>
      </c>
      <c r="F11" s="43">
        <v>30672</v>
      </c>
      <c r="G11" s="34">
        <f t="shared" si="0"/>
        <v>0.48092947128261088</v>
      </c>
      <c r="H11" s="33">
        <f t="shared" si="1"/>
        <v>116358</v>
      </c>
      <c r="I11" s="34">
        <f t="shared" si="2"/>
        <v>0.35415633369705385</v>
      </c>
      <c r="J11" s="44" t="str">
        <f t="shared" si="3"/>
        <v>Rentable</v>
      </c>
    </row>
    <row r="12" spans="1:10" ht="16.5" customHeight="1" x14ac:dyDescent="0.25">
      <c r="A12" s="35" t="s">
        <v>52</v>
      </c>
      <c r="B12" s="45" t="s">
        <v>32</v>
      </c>
      <c r="C12" s="46">
        <v>1</v>
      </c>
      <c r="D12" s="47">
        <v>284079</v>
      </c>
      <c r="E12" s="47">
        <v>142707</v>
      </c>
      <c r="F12" s="47">
        <v>46632</v>
      </c>
      <c r="G12" s="37">
        <f t="shared" si="0"/>
        <v>0.49765030150063888</v>
      </c>
      <c r="H12" s="36">
        <f t="shared" si="1"/>
        <v>141372</v>
      </c>
      <c r="I12" s="37">
        <f t="shared" si="2"/>
        <v>0.33349878026886887</v>
      </c>
      <c r="J12" s="48" t="str">
        <f t="shared" si="3"/>
        <v>Rentable</v>
      </c>
    </row>
    <row r="13" spans="1:10" ht="16.5" customHeight="1" x14ac:dyDescent="0.25">
      <c r="A13" s="32" t="s">
        <v>53</v>
      </c>
      <c r="B13" s="41" t="s">
        <v>33</v>
      </c>
      <c r="C13" s="42">
        <v>1</v>
      </c>
      <c r="D13" s="43">
        <v>106303</v>
      </c>
      <c r="E13" s="43">
        <v>43894</v>
      </c>
      <c r="F13" s="43">
        <v>42564</v>
      </c>
      <c r="G13" s="34">
        <f t="shared" si="0"/>
        <v>0.58708597123317308</v>
      </c>
      <c r="H13" s="33">
        <f t="shared" si="1"/>
        <v>62409</v>
      </c>
      <c r="I13" s="34">
        <f t="shared" si="2"/>
        <v>0.18668334854143345</v>
      </c>
      <c r="J13" s="44" t="str">
        <f t="shared" si="3"/>
        <v>Rentable</v>
      </c>
    </row>
    <row r="14" spans="1:10" ht="16.5" customHeight="1" x14ac:dyDescent="0.25">
      <c r="A14" s="35" t="s">
        <v>54</v>
      </c>
      <c r="B14" s="45" t="s">
        <v>33</v>
      </c>
      <c r="C14" s="46">
        <v>1</v>
      </c>
      <c r="D14" s="47">
        <v>111393</v>
      </c>
      <c r="E14" s="47">
        <v>61026</v>
      </c>
      <c r="F14" s="47">
        <v>37984</v>
      </c>
      <c r="G14" s="37">
        <f t="shared" si="0"/>
        <v>0.45215588053109262</v>
      </c>
      <c r="H14" s="36">
        <f t="shared" si="1"/>
        <v>50367</v>
      </c>
      <c r="I14" s="37">
        <f t="shared" si="2"/>
        <v>0.11116497445979549</v>
      </c>
      <c r="J14" s="48" t="str">
        <f t="shared" si="3"/>
        <v>Rentable</v>
      </c>
    </row>
    <row r="15" spans="1:10" ht="16.5" customHeight="1" x14ac:dyDescent="0.25">
      <c r="A15" s="32" t="s">
        <v>55</v>
      </c>
      <c r="B15" s="41" t="s">
        <v>33</v>
      </c>
      <c r="C15" s="42">
        <v>1</v>
      </c>
      <c r="D15" s="43">
        <v>140696</v>
      </c>
      <c r="E15" s="43">
        <v>56732</v>
      </c>
      <c r="F15" s="43">
        <v>55428</v>
      </c>
      <c r="G15" s="34">
        <f t="shared" si="0"/>
        <v>0.59677602774776828</v>
      </c>
      <c r="H15" s="33">
        <f t="shared" si="1"/>
        <v>83964</v>
      </c>
      <c r="I15" s="34">
        <f t="shared" si="2"/>
        <v>0.2028202649684426</v>
      </c>
      <c r="J15" s="44" t="str">
        <f t="shared" si="3"/>
        <v>Rentable</v>
      </c>
    </row>
    <row r="16" spans="1:10" ht="16.5" customHeight="1" x14ac:dyDescent="0.25">
      <c r="A16" s="35" t="s">
        <v>56</v>
      </c>
      <c r="B16" s="45" t="s">
        <v>33</v>
      </c>
      <c r="C16" s="46">
        <v>1</v>
      </c>
      <c r="D16" s="47">
        <v>72917</v>
      </c>
      <c r="E16" s="47">
        <v>40104</v>
      </c>
      <c r="F16" s="47">
        <v>27852</v>
      </c>
      <c r="G16" s="37">
        <f t="shared" si="0"/>
        <v>0.45000479997805726</v>
      </c>
      <c r="H16" s="36">
        <f t="shared" si="1"/>
        <v>32813</v>
      </c>
      <c r="I16" s="37">
        <f t="shared" si="2"/>
        <v>6.8036260405666724E-2</v>
      </c>
      <c r="J16" s="48" t="str">
        <f t="shared" si="3"/>
        <v>Rentable</v>
      </c>
    </row>
    <row r="17" spans="1:10" ht="16.5" customHeight="1" x14ac:dyDescent="0.25">
      <c r="A17" s="32" t="s">
        <v>57</v>
      </c>
      <c r="B17" s="41" t="s">
        <v>34</v>
      </c>
      <c r="C17" s="42">
        <v>1</v>
      </c>
      <c r="D17" s="43">
        <v>68767</v>
      </c>
      <c r="E17" s="43">
        <v>43842</v>
      </c>
      <c r="F17" s="43">
        <v>47064</v>
      </c>
      <c r="G17" s="34">
        <f t="shared" si="0"/>
        <v>0.36245582910407609</v>
      </c>
      <c r="H17" s="33">
        <f t="shared" si="1"/>
        <v>24925</v>
      </c>
      <c r="I17" s="34">
        <f t="shared" si="2"/>
        <v>-0.3219422106533657</v>
      </c>
      <c r="J17" s="44" t="str">
        <f t="shared" si="3"/>
        <v>Déficitaire</v>
      </c>
    </row>
    <row r="18" spans="1:10" ht="16.5" customHeight="1" x14ac:dyDescent="0.25">
      <c r="A18" s="35" t="s">
        <v>58</v>
      </c>
      <c r="B18" s="45" t="s">
        <v>35</v>
      </c>
      <c r="C18" s="46">
        <v>1</v>
      </c>
      <c r="D18" s="47">
        <v>269669</v>
      </c>
      <c r="E18" s="47">
        <v>133350</v>
      </c>
      <c r="F18" s="47">
        <v>52296</v>
      </c>
      <c r="G18" s="37">
        <f t="shared" si="0"/>
        <v>0.50550489674378585</v>
      </c>
      <c r="H18" s="36">
        <f t="shared" si="1"/>
        <v>136319</v>
      </c>
      <c r="I18" s="37">
        <f t="shared" si="2"/>
        <v>0.31157826817320494</v>
      </c>
      <c r="J18" s="48" t="str">
        <f t="shared" si="3"/>
        <v>Rentable</v>
      </c>
    </row>
    <row r="19" spans="1:10" ht="16.5" customHeight="1" x14ac:dyDescent="0.25">
      <c r="A19" s="32" t="s">
        <v>59</v>
      </c>
      <c r="B19" s="41" t="s">
        <v>34</v>
      </c>
      <c r="C19" s="42">
        <v>1</v>
      </c>
      <c r="D19" s="43">
        <v>277973</v>
      </c>
      <c r="E19" s="43">
        <v>100683</v>
      </c>
      <c r="F19" s="43">
        <v>69204</v>
      </c>
      <c r="G19" s="34">
        <f t="shared" si="0"/>
        <v>0.63779575714188064</v>
      </c>
      <c r="H19" s="33">
        <f t="shared" si="1"/>
        <v>177290</v>
      </c>
      <c r="I19" s="34">
        <f t="shared" si="2"/>
        <v>0.38883632583020655</v>
      </c>
      <c r="J19" s="44" t="str">
        <f t="shared" si="3"/>
        <v>Rentable</v>
      </c>
    </row>
    <row r="20" spans="1:10" ht="16.5" customHeight="1" x14ac:dyDescent="0.25">
      <c r="A20" s="35" t="s">
        <v>60</v>
      </c>
      <c r="B20" s="45" t="s">
        <v>34</v>
      </c>
      <c r="C20" s="46">
        <v>1</v>
      </c>
      <c r="D20" s="47">
        <v>65256</v>
      </c>
      <c r="E20" s="47">
        <v>33856</v>
      </c>
      <c r="F20" s="47">
        <v>48036</v>
      </c>
      <c r="G20" s="37">
        <f t="shared" si="0"/>
        <v>0.48118180703690083</v>
      </c>
      <c r="H20" s="36">
        <f t="shared" si="1"/>
        <v>31400</v>
      </c>
      <c r="I20" s="37">
        <f t="shared" si="2"/>
        <v>-0.25493441216133383</v>
      </c>
      <c r="J20" s="48" t="str">
        <f t="shared" si="3"/>
        <v>Déficitaire</v>
      </c>
    </row>
    <row r="21" spans="1:10" ht="16.5" customHeight="1" x14ac:dyDescent="0.25">
      <c r="A21" s="32" t="s">
        <v>61</v>
      </c>
      <c r="B21" s="41" t="s">
        <v>34</v>
      </c>
      <c r="C21" s="42">
        <v>1</v>
      </c>
      <c r="D21" s="43">
        <v>67946</v>
      </c>
      <c r="E21" s="43">
        <v>34547</v>
      </c>
      <c r="F21" s="43">
        <v>46380</v>
      </c>
      <c r="G21" s="34">
        <f t="shared" si="0"/>
        <v>0.49155211491478529</v>
      </c>
      <c r="H21" s="33">
        <f t="shared" si="1"/>
        <v>33399</v>
      </c>
      <c r="I21" s="34">
        <f t="shared" si="2"/>
        <v>-0.19104877402643275</v>
      </c>
      <c r="J21" s="44" t="str">
        <f t="shared" si="3"/>
        <v>Déficitaire</v>
      </c>
    </row>
    <row r="22" spans="1:10" ht="16.5" customHeight="1" x14ac:dyDescent="0.25">
      <c r="A22" s="35" t="s">
        <v>62</v>
      </c>
      <c r="B22" s="45" t="s">
        <v>33</v>
      </c>
      <c r="C22" s="46">
        <v>1</v>
      </c>
      <c r="D22" s="47">
        <v>89143</v>
      </c>
      <c r="E22" s="47">
        <v>63421</v>
      </c>
      <c r="F22" s="47">
        <v>71520</v>
      </c>
      <c r="G22" s="37">
        <f t="shared" si="0"/>
        <v>0.28854761450702804</v>
      </c>
      <c r="H22" s="36">
        <f t="shared" si="1"/>
        <v>25722</v>
      </c>
      <c r="I22" s="37">
        <f t="shared" si="2"/>
        <v>-0.51375879205321784</v>
      </c>
      <c r="J22" s="48" t="str">
        <f t="shared" si="3"/>
        <v>Déficitaire</v>
      </c>
    </row>
    <row r="23" spans="1:10" ht="19.5" customHeight="1" x14ac:dyDescent="0.25">
      <c r="A23" s="1" t="s">
        <v>63</v>
      </c>
      <c r="B23" s="1"/>
      <c r="C23" s="1"/>
      <c r="D23" s="39">
        <f>SUM(D3:D22)</f>
        <v>3411928</v>
      </c>
      <c r="E23" s="39">
        <f>SUM(E3:E22)</f>
        <v>1699322</v>
      </c>
      <c r="F23" s="39">
        <f>SUM(F3:F22)</f>
        <v>854596</v>
      </c>
      <c r="G23" s="40">
        <f>AVERAGE(G3:G22)</f>
        <v>0.49033316906994912</v>
      </c>
      <c r="H23" s="39">
        <f>SUM(H3:H22)</f>
        <v>1712606</v>
      </c>
      <c r="I23" s="40">
        <f>AVERAGE(I3:I22)</f>
        <v>0.15889593115765085</v>
      </c>
      <c r="J23" s="49"/>
    </row>
  </sheetData>
  <mergeCells count="2">
    <mergeCell ref="A1:J1"/>
    <mergeCell ref="A23:C2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017"/>
  </sheetPr>
  <dimension ref="A1:J7"/>
  <sheetViews>
    <sheetView showGridLines="0" zoomScaleNormal="100" workbookViewId="0">
      <pane ySplit="2" topLeftCell="A3" activePane="bottomLeft" state="frozen"/>
      <selection pane="bottomLeft" sqref="A1:J1"/>
    </sheetView>
  </sheetViews>
  <sheetFormatPr baseColWidth="10" defaultColWidth="8.7109375" defaultRowHeight="15" x14ac:dyDescent="0.25"/>
  <cols>
    <col min="1" max="1" width="18" customWidth="1"/>
    <col min="2" max="2" width="10.42578125" bestFit="1" customWidth="1"/>
    <col min="3" max="4" width="16" customWidth="1"/>
    <col min="5" max="5" width="12" customWidth="1"/>
    <col min="6" max="6" width="16" customWidth="1"/>
    <col min="7" max="7" width="12" customWidth="1"/>
    <col min="8" max="8" width="16" customWidth="1"/>
    <col min="9" max="9" width="12" customWidth="1"/>
    <col min="10" max="10" width="14" customWidth="1"/>
  </cols>
  <sheetData>
    <row r="1" spans="1:10" ht="24" customHeight="1" x14ac:dyDescent="0.25">
      <c r="A1" s="2" t="s">
        <v>64</v>
      </c>
      <c r="B1" s="2"/>
      <c r="C1" s="2"/>
      <c r="D1" s="2"/>
      <c r="E1" s="2"/>
      <c r="F1" s="2"/>
      <c r="G1" s="2"/>
      <c r="H1" s="2"/>
      <c r="I1" s="2"/>
      <c r="J1" s="2"/>
    </row>
    <row r="2" spans="1:10" ht="19.5" customHeight="1" x14ac:dyDescent="0.25">
      <c r="A2" s="31" t="s">
        <v>27</v>
      </c>
      <c r="B2" s="31" t="s">
        <v>65</v>
      </c>
      <c r="C2" s="31" t="s">
        <v>7</v>
      </c>
      <c r="D2" s="31" t="s">
        <v>8</v>
      </c>
      <c r="E2" s="31" t="s">
        <v>29</v>
      </c>
      <c r="F2" s="31" t="s">
        <v>9</v>
      </c>
      <c r="G2" s="31" t="s">
        <v>30</v>
      </c>
      <c r="H2" s="31" t="s">
        <v>31</v>
      </c>
      <c r="I2" s="31" t="s">
        <v>66</v>
      </c>
      <c r="J2" s="31" t="s">
        <v>67</v>
      </c>
    </row>
    <row r="3" spans="1:10" ht="18" customHeight="1" x14ac:dyDescent="0.25">
      <c r="A3" s="32" t="s">
        <v>32</v>
      </c>
      <c r="B3" s="50">
        <f>COUNTIF(Données!B3:B22,A3)</f>
        <v>1</v>
      </c>
      <c r="C3" s="33">
        <f>SUMIF(Données!B3:B22,A3,Données!D3:D22)</f>
        <v>284079</v>
      </c>
      <c r="D3" s="33">
        <f>SUMIF(Données!B3:B22,A3,Données!H3:H22)</f>
        <v>141372</v>
      </c>
      <c r="E3" s="34">
        <f>D3/C3</f>
        <v>0.49765030150063888</v>
      </c>
      <c r="F3" s="33">
        <f>SUMIF(Données!B3:B22,A3,Données!H3:H22)-SUMIF(Données!B3:B22,A3,Données!F3:F22)</f>
        <v>94740</v>
      </c>
      <c r="G3" s="34">
        <f>F3/C3</f>
        <v>0.33349878026886887</v>
      </c>
      <c r="H3" s="43">
        <v>93704</v>
      </c>
      <c r="I3" s="34">
        <f>C3/H3</f>
        <v>3.0316635362417825</v>
      </c>
      <c r="J3" s="33">
        <f>C3-H3</f>
        <v>190375</v>
      </c>
    </row>
    <row r="4" spans="1:10" ht="18" customHeight="1" x14ac:dyDescent="0.25">
      <c r="A4" s="35" t="s">
        <v>33</v>
      </c>
      <c r="B4" s="51">
        <f>COUNTIF(Données!B3:B22,A4)</f>
        <v>9</v>
      </c>
      <c r="C4" s="36">
        <f>SUMIF(Données!B3:B22,A4,Données!D3:D22)</f>
        <v>1211895</v>
      </c>
      <c r="D4" s="36">
        <f>SUMIF(Données!B3:B22,A4,Données!H3:H22)</f>
        <v>604980</v>
      </c>
      <c r="E4" s="37">
        <f>D4/C4</f>
        <v>0.49920166351045264</v>
      </c>
      <c r="F4" s="36">
        <f>SUMIF(Données!B3:B22,A4,Données!H3:H22)-SUMIF(Données!B3:B22,A4,Données!F3:F22)</f>
        <v>252560</v>
      </c>
      <c r="G4" s="37">
        <f>F4/C4</f>
        <v>0.20840089281662191</v>
      </c>
      <c r="H4" s="47">
        <v>596659</v>
      </c>
      <c r="I4" s="37">
        <f>C4/H4</f>
        <v>2.031135036930642</v>
      </c>
      <c r="J4" s="36">
        <f>C4-H4</f>
        <v>615236</v>
      </c>
    </row>
    <row r="5" spans="1:10" ht="18" customHeight="1" x14ac:dyDescent="0.25">
      <c r="A5" s="32" t="s">
        <v>34</v>
      </c>
      <c r="B5" s="50">
        <f>COUNTIF(Données!B3:B22,A5)</f>
        <v>6</v>
      </c>
      <c r="C5" s="33">
        <f>SUMIF(Données!B3:B22,A5,Données!D3:D22)</f>
        <v>973205</v>
      </c>
      <c r="D5" s="33">
        <f>SUMIF(Données!B3:B22,A5,Données!H3:H22)</f>
        <v>520666</v>
      </c>
      <c r="E5" s="34">
        <f>D5/C5</f>
        <v>0.53500136148088018</v>
      </c>
      <c r="F5" s="33">
        <f>SUMIF(Données!B3:B22,A5,Données!H3:H22)-SUMIF(Données!B3:B22,A5,Données!F3:F22)</f>
        <v>230902</v>
      </c>
      <c r="G5" s="34">
        <f>F5/C5</f>
        <v>0.23725936467650702</v>
      </c>
      <c r="H5" s="43">
        <v>482322</v>
      </c>
      <c r="I5" s="34">
        <f>C5/H5</f>
        <v>2.0177495532030467</v>
      </c>
      <c r="J5" s="33">
        <f>C5-H5</f>
        <v>490883</v>
      </c>
    </row>
    <row r="6" spans="1:10" ht="18" customHeight="1" x14ac:dyDescent="0.25">
      <c r="A6" s="35" t="s">
        <v>35</v>
      </c>
      <c r="B6" s="51">
        <f>COUNTIF(Données!B3:B22,A6)</f>
        <v>4</v>
      </c>
      <c r="C6" s="36">
        <f>SUMIF(Données!B3:B22,A6,Données!D3:D22)</f>
        <v>942749</v>
      </c>
      <c r="D6" s="36">
        <f>SUMIF(Données!B3:B22,A6,Données!H3:H22)</f>
        <v>445588</v>
      </c>
      <c r="E6" s="37">
        <f>D6/C6</f>
        <v>0.47264754457443076</v>
      </c>
      <c r="F6" s="36">
        <f>SUMIF(Données!B3:B22,A6,Données!H3:H22)-SUMIF(Données!B3:B22,A6,Données!F3:F22)</f>
        <v>279808</v>
      </c>
      <c r="G6" s="37">
        <f>F6/C6</f>
        <v>0.29680010267844359</v>
      </c>
      <c r="H6" s="47">
        <v>373372</v>
      </c>
      <c r="I6" s="37">
        <f>C6/H6</f>
        <v>2.5249590221012825</v>
      </c>
      <c r="J6" s="36">
        <f>C6-H6</f>
        <v>569377</v>
      </c>
    </row>
    <row r="7" spans="1:10" ht="19.5" customHeight="1" x14ac:dyDescent="0.25">
      <c r="A7" s="38" t="s">
        <v>36</v>
      </c>
      <c r="B7" s="52">
        <f>SUM(B3:B6)</f>
        <v>20</v>
      </c>
      <c r="C7" s="39">
        <f>SUM(C3:C6)</f>
        <v>3411928</v>
      </c>
      <c r="D7" s="39">
        <f>SUM(D3:D6)</f>
        <v>1712606</v>
      </c>
      <c r="E7" s="40">
        <f>D7/C7</f>
        <v>0.50194669993036201</v>
      </c>
      <c r="F7" s="39">
        <f>SUM(F3:F6)</f>
        <v>858010</v>
      </c>
      <c r="G7" s="40">
        <f>F7/C7</f>
        <v>0.25147365360582052</v>
      </c>
      <c r="H7" s="39">
        <f>SUM(H3:H6)</f>
        <v>1546057</v>
      </c>
      <c r="I7" s="40">
        <f>AVERAGE(I3:I6)</f>
        <v>2.4013767871191884</v>
      </c>
      <c r="J7" s="39">
        <f>SUM(J3:J6)</f>
        <v>1865871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53E3E"/>
  </sheetPr>
  <dimension ref="A1:G7"/>
  <sheetViews>
    <sheetView showGridLines="0" tabSelected="1" zoomScaleNormal="100" workbookViewId="0">
      <pane ySplit="2" topLeftCell="A3" activePane="bottomLeft" state="frozen"/>
      <selection pane="bottomLeft" sqref="A1:G1"/>
    </sheetView>
  </sheetViews>
  <sheetFormatPr baseColWidth="10" defaultColWidth="8.7109375" defaultRowHeight="15" x14ac:dyDescent="0.25"/>
  <cols>
    <col min="1" max="1" width="18" customWidth="1"/>
    <col min="2" max="7" width="16" customWidth="1"/>
  </cols>
  <sheetData>
    <row r="1" spans="1:7" ht="24" customHeight="1" x14ac:dyDescent="0.25">
      <c r="A1" s="2" t="s">
        <v>68</v>
      </c>
      <c r="B1" s="2"/>
      <c r="C1" s="2"/>
      <c r="D1" s="2"/>
      <c r="E1" s="2"/>
      <c r="F1" s="2"/>
      <c r="G1" s="2"/>
    </row>
    <row r="2" spans="1:7" ht="19.5" customHeight="1" x14ac:dyDescent="0.25">
      <c r="A2" s="31" t="s">
        <v>27</v>
      </c>
      <c r="B2" s="31" t="s">
        <v>69</v>
      </c>
      <c r="C2" s="31" t="s">
        <v>31</v>
      </c>
      <c r="D2" s="31" t="s">
        <v>67</v>
      </c>
      <c r="E2" s="31" t="s">
        <v>66</v>
      </c>
      <c r="F2" s="31" t="s">
        <v>8</v>
      </c>
      <c r="G2" s="31" t="s">
        <v>70</v>
      </c>
    </row>
    <row r="3" spans="1:7" ht="18" customHeight="1" x14ac:dyDescent="0.25">
      <c r="A3" s="32" t="s">
        <v>32</v>
      </c>
      <c r="B3" s="33">
        <f>SUMIF(Données!B3:B22,A3,Données!D3:D22)</f>
        <v>284079</v>
      </c>
      <c r="C3" s="43">
        <v>93704</v>
      </c>
      <c r="D3" s="33">
        <f>B3-C3</f>
        <v>190375</v>
      </c>
      <c r="E3" s="34">
        <f>B3/C3</f>
        <v>3.0316635362417825</v>
      </c>
      <c r="F3" s="33">
        <f>SUMIF(Données!B3:B22,A3,Données!H3:H22)</f>
        <v>141372</v>
      </c>
      <c r="G3" s="34">
        <f>F3/B3</f>
        <v>0.49765030150063888</v>
      </c>
    </row>
    <row r="4" spans="1:7" ht="18" customHeight="1" x14ac:dyDescent="0.25">
      <c r="A4" s="35" t="s">
        <v>33</v>
      </c>
      <c r="B4" s="36">
        <f>SUMIF(Données!B3:B22,A4,Données!D3:D22)</f>
        <v>1211895</v>
      </c>
      <c r="C4" s="47">
        <v>596659</v>
      </c>
      <c r="D4" s="36">
        <f>B4-C4</f>
        <v>615236</v>
      </c>
      <c r="E4" s="37">
        <f>B4/C4</f>
        <v>2.031135036930642</v>
      </c>
      <c r="F4" s="36">
        <f>SUMIF(Données!B3:B22,A4,Données!H3:H22)</f>
        <v>604980</v>
      </c>
      <c r="G4" s="37">
        <f>F4/B4</f>
        <v>0.49920166351045264</v>
      </c>
    </row>
    <row r="5" spans="1:7" ht="18" customHeight="1" x14ac:dyDescent="0.25">
      <c r="A5" s="32" t="s">
        <v>34</v>
      </c>
      <c r="B5" s="33">
        <f>SUMIF(Données!B3:B22,A5,Données!D3:D22)</f>
        <v>973205</v>
      </c>
      <c r="C5" s="43">
        <v>482322</v>
      </c>
      <c r="D5" s="33">
        <f>B5-C5</f>
        <v>490883</v>
      </c>
      <c r="E5" s="34">
        <f>B5/C5</f>
        <v>2.0177495532030467</v>
      </c>
      <c r="F5" s="33">
        <f>SUMIF(Données!B3:B22,A5,Données!H3:H22)</f>
        <v>520666</v>
      </c>
      <c r="G5" s="34">
        <f>F5/B5</f>
        <v>0.53500136148088018</v>
      </c>
    </row>
    <row r="6" spans="1:7" ht="18" customHeight="1" x14ac:dyDescent="0.25">
      <c r="A6" s="35" t="s">
        <v>35</v>
      </c>
      <c r="B6" s="36">
        <f>SUMIF(Données!B3:B22,A6,Données!D3:D22)</f>
        <v>942749</v>
      </c>
      <c r="C6" s="47">
        <v>373372</v>
      </c>
      <c r="D6" s="36">
        <f>B6-C6</f>
        <v>569377</v>
      </c>
      <c r="E6" s="37">
        <f>B6/C6</f>
        <v>2.5249590221012825</v>
      </c>
      <c r="F6" s="36">
        <f>SUMIF(Données!B3:B22,A6,Données!H3:H22)</f>
        <v>445588</v>
      </c>
      <c r="G6" s="37">
        <f>F6/B6</f>
        <v>0.47264754457443076</v>
      </c>
    </row>
    <row r="7" spans="1:7" ht="19.5" customHeight="1" x14ac:dyDescent="0.25">
      <c r="A7" s="38" t="s">
        <v>71</v>
      </c>
      <c r="B7" s="39">
        <f>SUM(B3:B6)</f>
        <v>3411928</v>
      </c>
      <c r="C7" s="39">
        <f>SUM(C3:C6)</f>
        <v>1546057</v>
      </c>
      <c r="D7" s="39">
        <f>SUM(D3:D6)</f>
        <v>1865871</v>
      </c>
      <c r="E7" s="40">
        <f>B7/C7</f>
        <v>2.2068578325378687</v>
      </c>
      <c r="F7" s="39">
        <f>SUM(F3:F6)</f>
        <v>1712606</v>
      </c>
      <c r="G7" s="40">
        <f>F7/B7</f>
        <v>0.50194669993036201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📊 Tableau de Bord</vt:lpstr>
      <vt:lpstr>Données</vt:lpstr>
      <vt:lpstr>Familles</vt:lpstr>
      <vt:lpstr>Seuil Rentabilité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2026-03-31T23:00:07Z</dcterms:created>
  <dcterms:modified xsi:type="dcterms:W3CDTF">2026-03-31T23:36:36Z</dcterms:modified>
  <dc:language>en-US</dc:language>
</cp:coreProperties>
</file>